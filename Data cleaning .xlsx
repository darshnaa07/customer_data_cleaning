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clean data" sheetId="2" r:id="rId6"/>
    <sheet state="visible" name="summary " sheetId="3" r:id="rId7"/>
  </sheets>
  <definedNames/>
  <calcPr/>
</workbook>
</file>

<file path=xl/sharedStrings.xml><?xml version="1.0" encoding="utf-8"?>
<sst xmlns="http://schemas.openxmlformats.org/spreadsheetml/2006/main" count="200" uniqueCount="129">
  <si>
    <t>CUSTOMER ID</t>
  </si>
  <si>
    <t>NAME</t>
  </si>
  <si>
    <t xml:space="preserve">E-MAIL </t>
  </si>
  <si>
    <t>PHONE</t>
  </si>
  <si>
    <t>CITY</t>
  </si>
  <si>
    <t xml:space="preserve">ORDER AMOUNT </t>
  </si>
  <si>
    <t>C001</t>
  </si>
  <si>
    <t>rahul sharma</t>
  </si>
  <si>
    <t>rahul@gmail.com</t>
  </si>
  <si>
    <t>delhi</t>
  </si>
  <si>
    <t>C002</t>
  </si>
  <si>
    <t>priya singh</t>
  </si>
  <si>
    <t>priya@gmail.com</t>
  </si>
  <si>
    <t>NOIDA</t>
  </si>
  <si>
    <t>C003</t>
  </si>
  <si>
    <t>amit kumar</t>
  </si>
  <si>
    <t>amit@gmail.com</t>
  </si>
  <si>
    <t>kanpur</t>
  </si>
  <si>
    <t>C004</t>
  </si>
  <si>
    <t>neha verma</t>
  </si>
  <si>
    <t xml:space="preserve">CUSTOMER DATA CLEANING PROJECT </t>
  </si>
  <si>
    <t>neha@gmail.com</t>
  </si>
  <si>
    <t>Jaunpur</t>
  </si>
  <si>
    <t>C005</t>
  </si>
  <si>
    <t xml:space="preserve">rohan gupta </t>
  </si>
  <si>
    <t>rohan@gmail.com</t>
  </si>
  <si>
    <t xml:space="preserve">Jhansi </t>
  </si>
  <si>
    <t>C006</t>
  </si>
  <si>
    <t>sneha patel</t>
  </si>
  <si>
    <t>sneha@gmail.com</t>
  </si>
  <si>
    <t>C007</t>
  </si>
  <si>
    <t>ARJUN MEHRA</t>
  </si>
  <si>
    <t>arjun@gmail.com</t>
  </si>
  <si>
    <t>RAIPUR</t>
  </si>
  <si>
    <t>C008</t>
  </si>
  <si>
    <t>puja yadav</t>
  </si>
  <si>
    <t>puja@gmail.com</t>
  </si>
  <si>
    <t xml:space="preserve">telangana </t>
  </si>
  <si>
    <t>C009</t>
  </si>
  <si>
    <t>Karan singh</t>
  </si>
  <si>
    <t>karan@gmail.com</t>
  </si>
  <si>
    <t>METRIC</t>
  </si>
  <si>
    <t>hyderabad</t>
  </si>
  <si>
    <t>C010</t>
  </si>
  <si>
    <t>ANjali gupta</t>
  </si>
  <si>
    <t>anjali@gmail.com</t>
  </si>
  <si>
    <t>C011</t>
  </si>
  <si>
    <t>C012</t>
  </si>
  <si>
    <t>MeenaJoshi</t>
  </si>
  <si>
    <t>meena@gmail.com</t>
  </si>
  <si>
    <t xml:space="preserve">sitapur </t>
  </si>
  <si>
    <t>C013</t>
  </si>
  <si>
    <t>vivek mishra</t>
  </si>
  <si>
    <t>vivek@gmail.com</t>
  </si>
  <si>
    <t>Manipur</t>
  </si>
  <si>
    <t xml:space="preserve">RESULT </t>
  </si>
  <si>
    <t>C014</t>
  </si>
  <si>
    <t>kavya singh</t>
  </si>
  <si>
    <t>kavya@gmail.com</t>
  </si>
  <si>
    <t>C015</t>
  </si>
  <si>
    <t xml:space="preserve">aman khan </t>
  </si>
  <si>
    <t>aman@gmail.com</t>
  </si>
  <si>
    <t>noida</t>
  </si>
  <si>
    <t>C016</t>
  </si>
  <si>
    <t>Simran Kaur</t>
  </si>
  <si>
    <t>simran@gmail.com</t>
  </si>
  <si>
    <t xml:space="preserve">chandigarh </t>
  </si>
  <si>
    <t xml:space="preserve">Total customers </t>
  </si>
  <si>
    <t>C017</t>
  </si>
  <si>
    <t>Rohit verma</t>
  </si>
  <si>
    <t>rohit@gmail.com</t>
  </si>
  <si>
    <t xml:space="preserve">sonepat </t>
  </si>
  <si>
    <t>C018</t>
  </si>
  <si>
    <t>Preeti Sharma</t>
  </si>
  <si>
    <t xml:space="preserve">Bareilly </t>
  </si>
  <si>
    <t>C019</t>
  </si>
  <si>
    <t xml:space="preserve">Mohit Aggarwal </t>
  </si>
  <si>
    <t>mohit@gmail.com</t>
  </si>
  <si>
    <t xml:space="preserve">madurai </t>
  </si>
  <si>
    <t>C020</t>
  </si>
  <si>
    <t>DivyaSingh</t>
  </si>
  <si>
    <t>divya@gmail.com</t>
  </si>
  <si>
    <t>vellore</t>
  </si>
  <si>
    <t>C021</t>
  </si>
  <si>
    <t xml:space="preserve">Saurabh Gupta </t>
  </si>
  <si>
    <t>saurabh@gmail.com</t>
  </si>
  <si>
    <t xml:space="preserve">LUCKNOW </t>
  </si>
  <si>
    <t>C022</t>
  </si>
  <si>
    <t>nisha verma</t>
  </si>
  <si>
    <t>nisha@gmail.com</t>
  </si>
  <si>
    <t xml:space="preserve">azamgarh </t>
  </si>
  <si>
    <t>C023</t>
  </si>
  <si>
    <t>Aditya Kumar</t>
  </si>
  <si>
    <t>aditya@gmail.com</t>
  </si>
  <si>
    <t>pune</t>
  </si>
  <si>
    <t>C024</t>
  </si>
  <si>
    <t>Poonam yadav</t>
  </si>
  <si>
    <t>poonam@gmail.com</t>
  </si>
  <si>
    <t>raipur</t>
  </si>
  <si>
    <t>C025</t>
  </si>
  <si>
    <t>Arjun mehra</t>
  </si>
  <si>
    <t xml:space="preserve">Kannauj </t>
  </si>
  <si>
    <t>C026</t>
  </si>
  <si>
    <t xml:space="preserve">Tanya Kapoor </t>
  </si>
  <si>
    <t>tanya@gmail.com</t>
  </si>
  <si>
    <t xml:space="preserve">gazipur </t>
  </si>
  <si>
    <t>C027</t>
  </si>
  <si>
    <t xml:space="preserve">raj malhotra </t>
  </si>
  <si>
    <t>raj@gmail.com</t>
  </si>
  <si>
    <t>surat</t>
  </si>
  <si>
    <t>C028</t>
  </si>
  <si>
    <t xml:space="preserve">Tools used: </t>
  </si>
  <si>
    <t>C029</t>
  </si>
  <si>
    <t>manish tiwari</t>
  </si>
  <si>
    <t>manish@gmail.com</t>
  </si>
  <si>
    <t>nagpur</t>
  </si>
  <si>
    <t>C030</t>
  </si>
  <si>
    <t>AYESHA KHAN</t>
  </si>
  <si>
    <t>Google sheets</t>
  </si>
  <si>
    <t>ayesha@gmail.com</t>
  </si>
  <si>
    <t xml:space="preserve">Durgapur </t>
  </si>
  <si>
    <t>Total sales</t>
  </si>
  <si>
    <t>Datasets :</t>
  </si>
  <si>
    <t>Average order</t>
  </si>
  <si>
    <t>Records after cleaning:</t>
  </si>
  <si>
    <t>Highest order</t>
  </si>
  <si>
    <t>Lowest order</t>
  </si>
  <si>
    <t xml:space="preserve">Duplicate records </t>
  </si>
  <si>
    <t>Missing records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</si>
</sst>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sz val="18.0"/>
      <color theme="1"/>
      <name val="Arial"/>
      <scheme val="minor"/>
    </font>
    <font>
      <b/>
      <u/>
      <color theme="1"/>
      <name val="Arial"/>
      <scheme val="minor"/>
    </font>
    <font>
      <b/>
      <u/>
      <sz val="18.0"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FFF2CC"/>
        <bgColor rgb="FFFFF2CC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2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2" fillId="2" fontId="4" numFmtId="0" xfId="0" applyAlignment="1" applyBorder="1" applyFont="1">
      <alignment horizontal="center" readingOrder="0" vertical="center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0" fontId="7" numFmtId="0" xfId="0" applyAlignment="1" applyFont="1">
      <alignment horizontal="center" readingOrder="0"/>
    </xf>
    <xf borderId="0" fillId="0" fontId="5" numFmtId="0" xfId="0" applyFont="1"/>
    <xf borderId="0" fillId="3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3" fillId="4" fontId="8" numFmtId="0" xfId="0" applyAlignment="1" applyBorder="1" applyFill="1" applyFont="1">
      <alignment horizontal="center" readingOrder="0"/>
    </xf>
    <xf borderId="1" fillId="4" fontId="9" numFmtId="0" xfId="0" applyAlignment="1" applyBorder="1" applyFont="1">
      <alignment horizontal="center" readingOrder="0"/>
    </xf>
    <xf borderId="3" fillId="5" fontId="1" numFmtId="0" xfId="0" applyAlignment="1" applyBorder="1" applyFill="1" applyFont="1">
      <alignment readingOrder="0"/>
    </xf>
    <xf borderId="0" fillId="3" fontId="1" numFmtId="0" xfId="0" applyAlignment="1" applyFont="1">
      <alignment horizontal="left" readingOrder="0"/>
    </xf>
    <xf borderId="0" fillId="3" fontId="1" numFmtId="0" xfId="0" applyAlignment="1" applyFont="1">
      <alignment horizontal="center"/>
    </xf>
    <xf borderId="1" fillId="5" fontId="1" numFmtId="0" xfId="0" applyAlignment="1" applyBorder="1" applyFont="1">
      <alignment horizontal="center"/>
    </xf>
    <xf borderId="1" fillId="0" fontId="10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5" fontId="1" numFmtId="0" xfId="0" applyAlignment="1" applyBorder="1" applyFont="1">
      <alignment readingOrder="0"/>
    </xf>
    <xf borderId="1" fillId="5" fontId="1" numFmtId="0" xfId="0" applyAlignment="1" applyBorder="1" applyFont="1">
      <alignment horizontal="center"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 t="s">
        <v>1</v>
      </c>
      <c r="C1" s="4" t="s">
        <v>2</v>
      </c>
      <c r="D1" s="4"/>
      <c r="E1" s="4" t="s">
        <v>3</v>
      </c>
      <c r="F1" s="4" t="s">
        <v>4</v>
      </c>
      <c r="G1" s="4" t="s">
        <v>5</v>
      </c>
      <c r="H1" s="4"/>
    </row>
    <row r="2">
      <c r="A2" s="1" t="s">
        <v>6</v>
      </c>
      <c r="B2" s="1" t="s">
        <v>7</v>
      </c>
      <c r="C2" s="4" t="s">
        <v>8</v>
      </c>
      <c r="D2" s="4"/>
      <c r="E2" s="4">
        <v>9.845672343E9</v>
      </c>
      <c r="F2" s="4" t="s">
        <v>9</v>
      </c>
      <c r="G2" s="4">
        <v>2100.0</v>
      </c>
      <c r="H2" s="4"/>
    </row>
    <row r="3">
      <c r="A3" s="1" t="s">
        <v>10</v>
      </c>
      <c r="B3" s="4" t="s">
        <v>11</v>
      </c>
      <c r="C3" s="4" t="s">
        <v>12</v>
      </c>
      <c r="E3" s="4">
        <v>9.652843159E9</v>
      </c>
      <c r="F3" s="4" t="s">
        <v>13</v>
      </c>
      <c r="G3" s="4">
        <v>1200.0</v>
      </c>
    </row>
    <row r="4">
      <c r="A4" s="1" t="s">
        <v>14</v>
      </c>
      <c r="B4" s="4" t="s">
        <v>15</v>
      </c>
      <c r="C4" s="4" t="s">
        <v>16</v>
      </c>
      <c r="E4" s="4">
        <v>4.568273915E9</v>
      </c>
      <c r="F4" s="4" t="s">
        <v>17</v>
      </c>
      <c r="G4" s="4">
        <v>350.0</v>
      </c>
    </row>
    <row r="5">
      <c r="A5" s="1" t="s">
        <v>18</v>
      </c>
      <c r="B5" s="4" t="s">
        <v>19</v>
      </c>
      <c r="C5" s="4" t="s">
        <v>21</v>
      </c>
      <c r="E5" s="4">
        <v>8.526379415E9</v>
      </c>
      <c r="F5" s="4" t="s">
        <v>22</v>
      </c>
      <c r="G5" s="4">
        <v>1500.0</v>
      </c>
    </row>
    <row r="6">
      <c r="A6" s="1" t="s">
        <v>23</v>
      </c>
      <c r="B6" s="4" t="s">
        <v>24</v>
      </c>
      <c r="C6" s="4" t="s">
        <v>25</v>
      </c>
      <c r="E6" s="4">
        <v>9.685237415E9</v>
      </c>
      <c r="F6" s="4" t="s">
        <v>26</v>
      </c>
      <c r="G6" s="4">
        <v>470.0</v>
      </c>
    </row>
    <row r="7">
      <c r="A7" s="1" t="s">
        <v>27</v>
      </c>
      <c r="B7" s="4" t="s">
        <v>28</v>
      </c>
      <c r="C7" s="4" t="s">
        <v>29</v>
      </c>
      <c r="E7" s="4">
        <v>8.526974399E9</v>
      </c>
      <c r="F7" s="4"/>
      <c r="G7" s="4">
        <v>3500.0</v>
      </c>
    </row>
    <row r="8">
      <c r="A8" s="1" t="s">
        <v>30</v>
      </c>
      <c r="B8" s="4" t="s">
        <v>31</v>
      </c>
      <c r="C8" s="4" t="s">
        <v>32</v>
      </c>
      <c r="E8" s="4">
        <v>8.506320759E9</v>
      </c>
      <c r="F8" s="4" t="s">
        <v>33</v>
      </c>
      <c r="G8" s="4">
        <v>1600.0</v>
      </c>
    </row>
    <row r="9">
      <c r="A9" s="1" t="s">
        <v>34</v>
      </c>
      <c r="B9" s="4" t="s">
        <v>35</v>
      </c>
      <c r="C9" s="4" t="s">
        <v>36</v>
      </c>
      <c r="E9" s="4">
        <v>9.889524376E9</v>
      </c>
      <c r="F9" s="4" t="s">
        <v>37</v>
      </c>
      <c r="G9" s="4">
        <v>1360.0</v>
      </c>
    </row>
    <row r="10">
      <c r="A10" s="1" t="s">
        <v>38</v>
      </c>
      <c r="B10" s="4" t="s">
        <v>39</v>
      </c>
      <c r="C10" s="4" t="s">
        <v>40</v>
      </c>
      <c r="E10" s="4">
        <v>8.415679832E9</v>
      </c>
      <c r="F10" s="4" t="s">
        <v>42</v>
      </c>
      <c r="G10" s="4">
        <v>5470.0</v>
      </c>
    </row>
    <row r="11">
      <c r="A11" s="1" t="s">
        <v>43</v>
      </c>
      <c r="B11" s="4" t="s">
        <v>44</v>
      </c>
      <c r="C11" s="4" t="s">
        <v>45</v>
      </c>
      <c r="E11" s="4">
        <v>8.97342651E9</v>
      </c>
      <c r="F11" s="4" t="s">
        <v>9</v>
      </c>
      <c r="G11" s="4">
        <v>3200.0</v>
      </c>
    </row>
    <row r="12">
      <c r="A12" s="1" t="s">
        <v>46</v>
      </c>
      <c r="B12" s="4" t="s">
        <v>7</v>
      </c>
      <c r="C12" s="4" t="s">
        <v>8</v>
      </c>
      <c r="E12" s="4">
        <v>9.845672343E9</v>
      </c>
      <c r="F12" s="4" t="s">
        <v>9</v>
      </c>
      <c r="G12" s="4">
        <v>2100.0</v>
      </c>
    </row>
    <row r="13">
      <c r="A13" s="1" t="s">
        <v>47</v>
      </c>
      <c r="B13" s="4" t="s">
        <v>48</v>
      </c>
      <c r="C13" s="4" t="s">
        <v>49</v>
      </c>
      <c r="E13" s="4">
        <v>8.009865735E9</v>
      </c>
      <c r="F13" s="4" t="s">
        <v>50</v>
      </c>
      <c r="G13" s="4">
        <v>120.0</v>
      </c>
    </row>
    <row r="14">
      <c r="A14" s="1" t="s">
        <v>51</v>
      </c>
      <c r="B14" s="4" t="s">
        <v>52</v>
      </c>
      <c r="C14" s="4" t="s">
        <v>53</v>
      </c>
      <c r="E14" s="4">
        <v>3.490798956E9</v>
      </c>
      <c r="F14" s="4" t="s">
        <v>54</v>
      </c>
      <c r="G14" s="4">
        <v>720.0</v>
      </c>
    </row>
    <row r="15">
      <c r="A15" s="1" t="s">
        <v>56</v>
      </c>
      <c r="B15" s="4" t="s">
        <v>57</v>
      </c>
      <c r="C15" s="4" t="s">
        <v>58</v>
      </c>
      <c r="E15" s="4">
        <v>6.579824315E9</v>
      </c>
      <c r="F15" s="4" t="s">
        <v>9</v>
      </c>
      <c r="G15" s="4">
        <v>360.0</v>
      </c>
    </row>
    <row r="16">
      <c r="A16" s="1" t="s">
        <v>59</v>
      </c>
      <c r="B16" s="4" t="s">
        <v>60</v>
      </c>
      <c r="C16" s="4" t="s">
        <v>61</v>
      </c>
      <c r="E16" s="4">
        <v>6.509807235E9</v>
      </c>
      <c r="F16" s="4" t="s">
        <v>62</v>
      </c>
      <c r="G16" s="4">
        <v>660.0</v>
      </c>
    </row>
    <row r="17">
      <c r="A17" s="1" t="s">
        <v>63</v>
      </c>
      <c r="B17" s="4" t="s">
        <v>64</v>
      </c>
      <c r="C17" s="4" t="s">
        <v>65</v>
      </c>
      <c r="E17" s="4">
        <v>2.896748028E9</v>
      </c>
      <c r="F17" s="4" t="s">
        <v>66</v>
      </c>
      <c r="G17" s="4">
        <v>480.0</v>
      </c>
    </row>
    <row r="18">
      <c r="A18" s="1" t="s">
        <v>68</v>
      </c>
      <c r="B18" s="4" t="s">
        <v>69</v>
      </c>
      <c r="C18" s="4" t="s">
        <v>70</v>
      </c>
      <c r="E18" s="4">
        <v>9.549768109E9</v>
      </c>
      <c r="F18" s="4" t="s">
        <v>71</v>
      </c>
      <c r="G18" s="4">
        <v>1700.0</v>
      </c>
    </row>
    <row r="19">
      <c r="A19" s="1" t="s">
        <v>72</v>
      </c>
      <c r="B19" s="4" t="s">
        <v>73</v>
      </c>
      <c r="C19" s="4"/>
      <c r="E19" s="4">
        <v>2.38654179E9</v>
      </c>
      <c r="F19" s="4" t="s">
        <v>74</v>
      </c>
      <c r="G19" s="4">
        <v>1780.0</v>
      </c>
    </row>
    <row r="20">
      <c r="A20" s="1" t="s">
        <v>75</v>
      </c>
      <c r="B20" s="4" t="s">
        <v>76</v>
      </c>
      <c r="C20" s="4" t="s">
        <v>77</v>
      </c>
      <c r="E20" s="4">
        <v>9.885760147E9</v>
      </c>
      <c r="F20" s="4" t="s">
        <v>78</v>
      </c>
      <c r="G20" s="4">
        <v>1560.0</v>
      </c>
    </row>
    <row r="21">
      <c r="A21" s="1" t="s">
        <v>79</v>
      </c>
      <c r="B21" s="4" t="s">
        <v>80</v>
      </c>
      <c r="C21" s="4" t="s">
        <v>81</v>
      </c>
      <c r="F21" s="4" t="s">
        <v>82</v>
      </c>
      <c r="G21" s="4">
        <v>500.0</v>
      </c>
    </row>
    <row r="22">
      <c r="A22" s="1" t="s">
        <v>83</v>
      </c>
      <c r="B22" s="4" t="s">
        <v>84</v>
      </c>
      <c r="C22" s="4" t="s">
        <v>85</v>
      </c>
      <c r="E22" s="4">
        <v>9.534762019E9</v>
      </c>
      <c r="F22" s="4" t="s">
        <v>86</v>
      </c>
      <c r="G22" s="4">
        <v>1360.0</v>
      </c>
    </row>
    <row r="23">
      <c r="A23" s="1" t="s">
        <v>87</v>
      </c>
      <c r="B23" s="4" t="s">
        <v>88</v>
      </c>
      <c r="C23" s="4" t="s">
        <v>89</v>
      </c>
      <c r="F23" s="4" t="s">
        <v>90</v>
      </c>
      <c r="G23" s="4">
        <v>850.0</v>
      </c>
    </row>
    <row r="24">
      <c r="A24" s="1" t="s">
        <v>91</v>
      </c>
      <c r="B24" s="4" t="s">
        <v>92</v>
      </c>
      <c r="C24" s="4" t="s">
        <v>93</v>
      </c>
      <c r="E24" s="4">
        <v>5.724164937E9</v>
      </c>
      <c r="F24" s="4" t="s">
        <v>94</v>
      </c>
      <c r="G24" s="4">
        <v>7230.0</v>
      </c>
    </row>
    <row r="25">
      <c r="A25" s="1" t="s">
        <v>95</v>
      </c>
      <c r="B25" s="4" t="s">
        <v>96</v>
      </c>
      <c r="C25" s="4" t="s">
        <v>97</v>
      </c>
      <c r="E25" s="4">
        <v>4.079865321E9</v>
      </c>
      <c r="F25" s="4" t="s">
        <v>98</v>
      </c>
      <c r="G25" s="4">
        <v>4300.0</v>
      </c>
    </row>
    <row r="26">
      <c r="A26" s="1" t="s">
        <v>99</v>
      </c>
      <c r="B26" s="4" t="s">
        <v>100</v>
      </c>
      <c r="C26" s="4" t="s">
        <v>32</v>
      </c>
      <c r="E26" s="4">
        <v>4.67913285E9</v>
      </c>
      <c r="F26" s="4" t="s">
        <v>101</v>
      </c>
      <c r="G26" s="4">
        <v>410.0</v>
      </c>
    </row>
    <row r="27">
      <c r="A27" s="1" t="s">
        <v>102</v>
      </c>
      <c r="B27" s="4" t="s">
        <v>103</v>
      </c>
      <c r="C27" s="4" t="s">
        <v>104</v>
      </c>
      <c r="E27" s="4">
        <v>8.052349167E9</v>
      </c>
      <c r="F27" s="4" t="s">
        <v>105</v>
      </c>
      <c r="G27" s="4">
        <v>550.0</v>
      </c>
    </row>
    <row r="28">
      <c r="A28" s="1" t="s">
        <v>106</v>
      </c>
      <c r="B28" s="4" t="s">
        <v>107</v>
      </c>
      <c r="C28" s="4" t="s">
        <v>108</v>
      </c>
      <c r="E28" s="4">
        <v>5.264913756E9</v>
      </c>
      <c r="F28" s="4" t="s">
        <v>109</v>
      </c>
      <c r="G28" s="4">
        <v>4210.0</v>
      </c>
    </row>
    <row r="29">
      <c r="A29" s="1" t="s">
        <v>110</v>
      </c>
      <c r="B29" s="4" t="s">
        <v>19</v>
      </c>
      <c r="C29" s="4" t="s">
        <v>21</v>
      </c>
      <c r="E29" s="4">
        <v>9.45679514E9</v>
      </c>
      <c r="G29" s="4">
        <v>570.0</v>
      </c>
    </row>
    <row r="30">
      <c r="A30" s="1" t="s">
        <v>112</v>
      </c>
      <c r="B30" s="4" t="s">
        <v>113</v>
      </c>
      <c r="C30" s="4" t="s">
        <v>114</v>
      </c>
      <c r="E30" s="4">
        <v>3.45629871E9</v>
      </c>
      <c r="F30" s="4" t="s">
        <v>115</v>
      </c>
      <c r="G30" s="4">
        <v>3200.0</v>
      </c>
    </row>
    <row r="31">
      <c r="A31" s="1" t="s">
        <v>116</v>
      </c>
      <c r="B31" s="4" t="s">
        <v>117</v>
      </c>
      <c r="C31" s="4" t="s">
        <v>119</v>
      </c>
      <c r="E31" s="4">
        <v>8.523947018E9</v>
      </c>
      <c r="F31" s="4" t="s">
        <v>120</v>
      </c>
      <c r="G31" s="4">
        <v>1210.0</v>
      </c>
    </row>
    <row r="32">
      <c r="E32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3" max="3" width="19.25"/>
    <col customWidth="1" min="6" max="6" width="15.88"/>
  </cols>
  <sheetData>
    <row r="1" ht="46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6" t="s">
        <v>5</v>
      </c>
      <c r="G1" s="4"/>
      <c r="I1" s="8"/>
      <c r="J1" s="8"/>
      <c r="K1" s="5"/>
      <c r="L1" s="5"/>
    </row>
    <row r="2">
      <c r="A2" s="12" t="s">
        <v>6</v>
      </c>
      <c r="B2" s="12" t="str">
        <f>PROPER(TRIM('raw data'!B2))</f>
        <v>Rahul Sharma</v>
      </c>
      <c r="C2" s="17" t="s">
        <v>8</v>
      </c>
      <c r="D2" s="12">
        <v>9.845672343E9</v>
      </c>
      <c r="E2" s="18" t="str">
        <f>PROPER(TRIM('raw data'!F2))</f>
        <v>Delhi</v>
      </c>
      <c r="F2" s="12">
        <v>2100.0</v>
      </c>
      <c r="G2" s="4"/>
    </row>
    <row r="3">
      <c r="A3" s="12" t="s">
        <v>10</v>
      </c>
      <c r="B3" s="12" t="str">
        <f>PROPER(TRIM('raw data'!B3))</f>
        <v>Priya Singh</v>
      </c>
      <c r="C3" s="17" t="s">
        <v>12</v>
      </c>
      <c r="D3" s="12">
        <v>9.652843159E9</v>
      </c>
      <c r="E3" s="18" t="str">
        <f>PROPER(TRIM('raw data'!F3))</f>
        <v>Noida</v>
      </c>
      <c r="F3" s="12">
        <v>1200.0</v>
      </c>
    </row>
    <row r="4">
      <c r="A4" s="12" t="s">
        <v>14</v>
      </c>
      <c r="B4" s="12" t="str">
        <f>PROPER(TRIM('raw data'!B4))</f>
        <v>Amit Kumar</v>
      </c>
      <c r="C4" s="17" t="s">
        <v>16</v>
      </c>
      <c r="D4" s="12">
        <v>4.568273915E9</v>
      </c>
      <c r="E4" s="18" t="str">
        <f>PROPER(TRIM('raw data'!F4))</f>
        <v>Kanpur</v>
      </c>
      <c r="F4" s="12">
        <v>350.0</v>
      </c>
    </row>
    <row r="5">
      <c r="A5" s="12" t="s">
        <v>18</v>
      </c>
      <c r="B5" s="12" t="str">
        <f>PROPER(TRIM('raw data'!B5))</f>
        <v>Neha Verma</v>
      </c>
      <c r="C5" s="17" t="s">
        <v>21</v>
      </c>
      <c r="D5" s="12">
        <v>8.526379415E9</v>
      </c>
      <c r="E5" s="18" t="str">
        <f>PROPER(TRIM('raw data'!F5))</f>
        <v>Jaunpur</v>
      </c>
      <c r="F5" s="12">
        <v>1500.0</v>
      </c>
    </row>
    <row r="6">
      <c r="A6" s="12" t="s">
        <v>23</v>
      </c>
      <c r="B6" s="12" t="str">
        <f>PROPER(TRIM('raw data'!B6))</f>
        <v>Rohan Gupta</v>
      </c>
      <c r="C6" s="17" t="s">
        <v>25</v>
      </c>
      <c r="D6" s="12">
        <v>9.685237415E9</v>
      </c>
      <c r="E6" s="18" t="str">
        <f>PROPER(TRIM('raw data'!F6))</f>
        <v>Jhansi</v>
      </c>
      <c r="F6" s="12">
        <v>470.0</v>
      </c>
    </row>
    <row r="7">
      <c r="A7" s="12" t="s">
        <v>27</v>
      </c>
      <c r="B7" s="12" t="str">
        <f>PROPER(TRIM('raw data'!B7))</f>
        <v>Sneha Patel</v>
      </c>
      <c r="C7" s="17" t="s">
        <v>29</v>
      </c>
      <c r="D7" s="12">
        <v>8.526974399E9</v>
      </c>
      <c r="E7" s="18" t="str">
        <f>PROPER(TRIM('raw data'!F7))</f>
        <v/>
      </c>
      <c r="F7" s="12">
        <v>3500.0</v>
      </c>
    </row>
    <row r="8">
      <c r="A8" s="12" t="s">
        <v>30</v>
      </c>
      <c r="B8" s="12" t="str">
        <f>PROPER(TRIM('raw data'!B8))</f>
        <v>Arjun Mehra</v>
      </c>
      <c r="C8" s="17" t="s">
        <v>32</v>
      </c>
      <c r="D8" s="12">
        <v>8.506320759E9</v>
      </c>
      <c r="E8" s="18" t="str">
        <f>PROPER(TRIM('raw data'!F8))</f>
        <v>Raipur</v>
      </c>
      <c r="F8" s="12">
        <v>1600.0</v>
      </c>
    </row>
    <row r="9">
      <c r="A9" s="12" t="s">
        <v>34</v>
      </c>
      <c r="B9" s="12" t="str">
        <f>PROPER(TRIM('raw data'!B9))</f>
        <v>Puja Yadav</v>
      </c>
      <c r="C9" s="17" t="s">
        <v>36</v>
      </c>
      <c r="D9" s="12">
        <v>9.889524376E9</v>
      </c>
      <c r="E9" s="18" t="str">
        <f>PROPER(TRIM('raw data'!F9))</f>
        <v>Telangana</v>
      </c>
      <c r="F9" s="12">
        <v>1360.0</v>
      </c>
    </row>
    <row r="10">
      <c r="A10" s="12" t="s">
        <v>38</v>
      </c>
      <c r="B10" s="12" t="str">
        <f>PROPER(TRIM('raw data'!B10))</f>
        <v>Karan Singh</v>
      </c>
      <c r="C10" s="17" t="s">
        <v>40</v>
      </c>
      <c r="D10" s="12">
        <v>8.415679832E9</v>
      </c>
      <c r="E10" s="18" t="str">
        <f>PROPER(TRIM('raw data'!F10))</f>
        <v>Hyderabad</v>
      </c>
      <c r="F10" s="12">
        <v>5470.0</v>
      </c>
    </row>
    <row r="11">
      <c r="A11" s="12" t="s">
        <v>43</v>
      </c>
      <c r="B11" s="12" t="str">
        <f>PROPER(TRIM('raw data'!B11))</f>
        <v>Anjali Gupta</v>
      </c>
      <c r="C11" s="17" t="s">
        <v>45</v>
      </c>
      <c r="D11" s="12">
        <v>8.97342651E9</v>
      </c>
      <c r="E11" s="18" t="str">
        <f>PROPER(TRIM('raw data'!F11))</f>
        <v>Delhi</v>
      </c>
      <c r="F11" s="12">
        <v>3200.0</v>
      </c>
    </row>
    <row r="12">
      <c r="A12" s="12" t="s">
        <v>46</v>
      </c>
      <c r="B12" s="12" t="str">
        <f>PROPER(TRIM('raw data'!B13))</f>
        <v>Meenajoshi</v>
      </c>
      <c r="C12" s="17" t="s">
        <v>49</v>
      </c>
      <c r="D12" s="12">
        <v>8.009865735E9</v>
      </c>
      <c r="E12" s="18" t="str">
        <f>PROPER(TRIM('raw data'!F13))</f>
        <v>Sitapur</v>
      </c>
      <c r="F12" s="12">
        <v>120.0</v>
      </c>
    </row>
    <row r="13">
      <c r="A13" s="12" t="s">
        <v>47</v>
      </c>
      <c r="B13" s="12" t="str">
        <f>PROPER(TRIM('raw data'!B14))</f>
        <v>Vivek Mishra</v>
      </c>
      <c r="C13" s="17" t="s">
        <v>53</v>
      </c>
      <c r="D13" s="12">
        <v>3.490798956E9</v>
      </c>
      <c r="E13" s="18" t="str">
        <f>PROPER(TRIM('raw data'!F14))</f>
        <v>Manipur</v>
      </c>
      <c r="F13" s="12">
        <v>720.0</v>
      </c>
    </row>
    <row r="14">
      <c r="A14" s="12" t="s">
        <v>51</v>
      </c>
      <c r="B14" s="12" t="str">
        <f>PROPER(TRIM('raw data'!B15))</f>
        <v>Kavya Singh</v>
      </c>
      <c r="C14" s="17" t="s">
        <v>58</v>
      </c>
      <c r="D14" s="12">
        <v>6.579824315E9</v>
      </c>
      <c r="E14" s="18" t="str">
        <f>PROPER(TRIM('raw data'!F15))</f>
        <v>Delhi</v>
      </c>
      <c r="F14" s="12">
        <v>360.0</v>
      </c>
    </row>
    <row r="15">
      <c r="A15" s="12" t="s">
        <v>56</v>
      </c>
      <c r="B15" s="12" t="str">
        <f>PROPER(TRIM('raw data'!B16))</f>
        <v>Aman Khan</v>
      </c>
      <c r="C15" s="17" t="s">
        <v>61</v>
      </c>
      <c r="D15" s="12">
        <v>6.509807235E9</v>
      </c>
      <c r="E15" s="18" t="str">
        <f>PROPER(TRIM('raw data'!F16))</f>
        <v>Noida</v>
      </c>
      <c r="F15" s="12">
        <v>660.0</v>
      </c>
    </row>
    <row r="16">
      <c r="A16" s="12" t="s">
        <v>59</v>
      </c>
      <c r="B16" s="12" t="str">
        <f>PROPER(TRIM('raw data'!B17))</f>
        <v>Simran Kaur</v>
      </c>
      <c r="C16" s="17" t="s">
        <v>65</v>
      </c>
      <c r="D16" s="12">
        <v>2.896748028E9</v>
      </c>
      <c r="E16" s="18" t="str">
        <f>PROPER(TRIM('raw data'!F17))</f>
        <v>Chandigarh</v>
      </c>
      <c r="F16" s="12">
        <v>480.0</v>
      </c>
    </row>
    <row r="17">
      <c r="A17" s="12" t="s">
        <v>63</v>
      </c>
      <c r="B17" s="12" t="str">
        <f>PROPER(TRIM('raw data'!B18))</f>
        <v>Rohit Verma</v>
      </c>
      <c r="C17" s="17" t="s">
        <v>70</v>
      </c>
      <c r="D17" s="12">
        <v>9.549768109E9</v>
      </c>
      <c r="E17" s="18" t="str">
        <f>PROPER(TRIM('raw data'!F18))</f>
        <v>Sonepat</v>
      </c>
      <c r="F17" s="12">
        <v>1700.0</v>
      </c>
    </row>
    <row r="18">
      <c r="A18" s="12" t="s">
        <v>68</v>
      </c>
      <c r="B18" s="12" t="str">
        <f>PROPER(TRIM('raw data'!B19))</f>
        <v>Preeti Sharma</v>
      </c>
      <c r="C18" s="17"/>
      <c r="D18" s="12">
        <v>2.38654179E9</v>
      </c>
      <c r="E18" s="18" t="str">
        <f>PROPER(TRIM('raw data'!F19))</f>
        <v>Bareilly</v>
      </c>
      <c r="F18" s="12">
        <v>1780.0</v>
      </c>
    </row>
    <row r="19">
      <c r="A19" s="12" t="s">
        <v>72</v>
      </c>
      <c r="B19" s="12" t="str">
        <f>PROPER(TRIM('raw data'!B20))</f>
        <v>Mohit Aggarwal</v>
      </c>
      <c r="C19" s="17" t="s">
        <v>77</v>
      </c>
      <c r="D19" s="12">
        <v>9.885760147E9</v>
      </c>
      <c r="E19" s="18" t="str">
        <f>PROPER(TRIM('raw data'!F20))</f>
        <v>Madurai</v>
      </c>
      <c r="F19" s="12">
        <v>1560.0</v>
      </c>
    </row>
    <row r="20">
      <c r="A20" s="12" t="s">
        <v>75</v>
      </c>
      <c r="B20" s="12" t="str">
        <f>PROPER(TRIM('raw data'!B21))</f>
        <v>Divyasingh</v>
      </c>
      <c r="C20" s="17" t="s">
        <v>81</v>
      </c>
      <c r="D20" s="18"/>
      <c r="E20" s="18" t="str">
        <f>PROPER(TRIM('raw data'!F21))</f>
        <v>Vellore</v>
      </c>
      <c r="F20" s="12">
        <v>500.0</v>
      </c>
    </row>
    <row r="21">
      <c r="A21" s="12" t="s">
        <v>79</v>
      </c>
      <c r="B21" s="12" t="str">
        <f>PROPER(TRIM('raw data'!B22))</f>
        <v>Saurabh Gupta</v>
      </c>
      <c r="C21" s="17" t="s">
        <v>85</v>
      </c>
      <c r="D21" s="12">
        <v>9.534762019E9</v>
      </c>
      <c r="E21" s="18" t="str">
        <f>PROPER(TRIM('raw data'!F22))</f>
        <v>Lucknow</v>
      </c>
      <c r="F21" s="12">
        <v>1360.0</v>
      </c>
    </row>
    <row r="22">
      <c r="A22" s="12" t="s">
        <v>83</v>
      </c>
      <c r="B22" s="12" t="str">
        <f>PROPER(TRIM('raw data'!B23))</f>
        <v>Nisha Verma</v>
      </c>
      <c r="C22" s="17" t="s">
        <v>89</v>
      </c>
      <c r="D22" s="18"/>
      <c r="E22" s="18" t="str">
        <f>PROPER(TRIM('raw data'!F23))</f>
        <v>Azamgarh</v>
      </c>
      <c r="F22" s="12">
        <v>850.0</v>
      </c>
    </row>
    <row r="23">
      <c r="A23" s="12" t="s">
        <v>87</v>
      </c>
      <c r="B23" s="12" t="str">
        <f>PROPER(TRIM('raw data'!B24))</f>
        <v>Aditya Kumar</v>
      </c>
      <c r="C23" s="17" t="s">
        <v>93</v>
      </c>
      <c r="D23" s="12">
        <v>5.724164937E9</v>
      </c>
      <c r="E23" s="18" t="str">
        <f>PROPER(TRIM('raw data'!F24))</f>
        <v>Pune</v>
      </c>
      <c r="F23" s="12">
        <v>7230.0</v>
      </c>
    </row>
    <row r="24">
      <c r="A24" s="12" t="s">
        <v>91</v>
      </c>
      <c r="B24" s="12" t="str">
        <f>PROPER(TRIM('raw data'!B25))</f>
        <v>Poonam Yadav</v>
      </c>
      <c r="C24" s="17" t="s">
        <v>97</v>
      </c>
      <c r="D24" s="12">
        <v>4.079865321E9</v>
      </c>
      <c r="E24" s="18" t="str">
        <f>PROPER(TRIM('raw data'!F25))</f>
        <v>Raipur</v>
      </c>
      <c r="F24" s="12">
        <v>4300.0</v>
      </c>
    </row>
    <row r="25">
      <c r="A25" s="12" t="s">
        <v>95</v>
      </c>
      <c r="B25" s="12" t="str">
        <f>PROPER(TRIM('raw data'!B26))</f>
        <v>Arjun Mehra</v>
      </c>
      <c r="C25" s="17" t="s">
        <v>32</v>
      </c>
      <c r="D25" s="12">
        <v>4.67913285E9</v>
      </c>
      <c r="E25" s="18" t="str">
        <f>PROPER(TRIM('raw data'!F26))</f>
        <v>Kannauj</v>
      </c>
      <c r="F25" s="12">
        <v>410.0</v>
      </c>
    </row>
    <row r="26">
      <c r="A26" s="12" t="s">
        <v>99</v>
      </c>
      <c r="B26" s="12" t="str">
        <f>PROPER(TRIM('raw data'!B27))</f>
        <v>Tanya Kapoor</v>
      </c>
      <c r="C26" s="17" t="s">
        <v>104</v>
      </c>
      <c r="D26" s="12">
        <v>8.052349167E9</v>
      </c>
      <c r="E26" s="18" t="str">
        <f>PROPER(TRIM('raw data'!F27))</f>
        <v>Gazipur</v>
      </c>
      <c r="F26" s="12">
        <v>550.0</v>
      </c>
    </row>
    <row r="27">
      <c r="A27" s="12" t="s">
        <v>102</v>
      </c>
      <c r="B27" s="12" t="str">
        <f>PROPER(TRIM('raw data'!B28))</f>
        <v>Raj Malhotra</v>
      </c>
      <c r="C27" s="17" t="s">
        <v>108</v>
      </c>
      <c r="D27" s="12">
        <v>5.264913756E9</v>
      </c>
      <c r="E27" s="18" t="str">
        <f>PROPER(TRIM('raw data'!F28))</f>
        <v>Surat</v>
      </c>
      <c r="F27" s="12">
        <v>4210.0</v>
      </c>
    </row>
    <row r="28">
      <c r="A28" s="12" t="s">
        <v>106</v>
      </c>
      <c r="B28" s="12" t="str">
        <f>PROPER(TRIM('raw data'!B29))</f>
        <v>Neha Verma</v>
      </c>
      <c r="C28" s="17" t="s">
        <v>21</v>
      </c>
      <c r="D28" s="12">
        <v>9.45679514E9</v>
      </c>
      <c r="E28" s="18" t="str">
        <f>PROPER(TRIM('raw data'!F29))</f>
        <v/>
      </c>
      <c r="F28" s="12">
        <v>570.0</v>
      </c>
    </row>
    <row r="29">
      <c r="A29" s="12" t="s">
        <v>110</v>
      </c>
      <c r="B29" s="12" t="str">
        <f>PROPER(TRIM('raw data'!B30))</f>
        <v>Manish Tiwari</v>
      </c>
      <c r="C29" s="17" t="s">
        <v>114</v>
      </c>
      <c r="D29" s="12">
        <v>3.45629871E9</v>
      </c>
      <c r="E29" s="18" t="str">
        <f>PROPER(TRIM('raw data'!F30))</f>
        <v>Nagpur</v>
      </c>
      <c r="F29" s="12">
        <v>3200.0</v>
      </c>
    </row>
    <row r="30">
      <c r="A30" s="12" t="s">
        <v>112</v>
      </c>
      <c r="B30" s="12" t="str">
        <f>PROPER(TRIM('raw data'!B31))</f>
        <v>Ayesha Khan</v>
      </c>
      <c r="C30" s="17" t="s">
        <v>119</v>
      </c>
      <c r="D30" s="12">
        <v>8.523947018E9</v>
      </c>
      <c r="E30" s="18" t="str">
        <f>PROPER(TRIM('raw data'!F31))</f>
        <v>Durgapur</v>
      </c>
      <c r="F30" s="12">
        <v>1210.0</v>
      </c>
    </row>
    <row r="31">
      <c r="A31" s="1"/>
      <c r="C31" s="13"/>
      <c r="D31" s="1"/>
      <c r="E31" s="13"/>
    </row>
    <row r="32">
      <c r="C32" s="13"/>
      <c r="D32" s="13"/>
      <c r="E32" s="13"/>
    </row>
  </sheetData>
  <conditionalFormatting sqref="F2:F30">
    <cfRule type="cellIs" dxfId="0" priority="1" operator="greaterThan">
      <formula>2000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5" max="5" width="19.0"/>
  </cols>
  <sheetData>
    <row r="1">
      <c r="A1" s="5"/>
      <c r="B1" s="5"/>
    </row>
    <row r="2" ht="37.5" customHeight="1">
      <c r="A2" s="7"/>
      <c r="B2" s="9"/>
      <c r="C2" s="10" t="s">
        <v>20</v>
      </c>
      <c r="D2" s="11"/>
      <c r="E2" s="11"/>
    </row>
    <row r="3">
      <c r="A3" s="7"/>
      <c r="B3" s="9"/>
      <c r="C3" s="11"/>
      <c r="D3" s="11"/>
      <c r="E3" s="11"/>
    </row>
    <row r="4">
      <c r="A4" s="4"/>
      <c r="B4" s="13"/>
    </row>
    <row r="5">
      <c r="A5" s="4"/>
      <c r="B5" s="14" t="s">
        <v>41</v>
      </c>
      <c r="C5" s="15" t="s">
        <v>55</v>
      </c>
      <c r="D5" s="5"/>
    </row>
    <row r="6">
      <c r="A6" s="4"/>
      <c r="B6" s="16" t="s">
        <v>67</v>
      </c>
      <c r="C6" s="19">
        <f>COUNTA('clean data'!A2:A30)</f>
        <v>29</v>
      </c>
      <c r="D6" s="13"/>
      <c r="E6" s="20" t="s">
        <v>111</v>
      </c>
      <c r="F6" s="21" t="s">
        <v>118</v>
      </c>
    </row>
    <row r="7">
      <c r="A7" s="4"/>
      <c r="B7" s="16" t="s">
        <v>121</v>
      </c>
      <c r="C7" s="19">
        <f>SUM('clean data'!F2:F30)</f>
        <v>52520</v>
      </c>
      <c r="D7" s="13"/>
      <c r="E7" s="20" t="s">
        <v>122</v>
      </c>
      <c r="F7" s="21">
        <v>30.0</v>
      </c>
    </row>
    <row r="8">
      <c r="A8" s="4"/>
      <c r="B8" s="16" t="s">
        <v>123</v>
      </c>
      <c r="C8" s="19">
        <f>AVERAGE('clean data'!F2:F30)</f>
        <v>1811.034483</v>
      </c>
      <c r="D8" s="13"/>
      <c r="E8" s="20" t="s">
        <v>124</v>
      </c>
      <c r="F8" s="21">
        <v>29.0</v>
      </c>
    </row>
    <row r="9">
      <c r="B9" s="16" t="s">
        <v>125</v>
      </c>
      <c r="C9" s="19">
        <f>MAX('clean data'!F2:F30)</f>
        <v>7230</v>
      </c>
      <c r="D9" s="13"/>
    </row>
    <row r="10">
      <c r="B10" s="22" t="s">
        <v>126</v>
      </c>
      <c r="C10" s="19">
        <f>MIN('clean data'!F2:F30)</f>
        <v>120</v>
      </c>
      <c r="D10" s="13"/>
    </row>
    <row r="11">
      <c r="B11" s="22" t="s">
        <v>127</v>
      </c>
      <c r="C11" s="23">
        <v>1.0</v>
      </c>
      <c r="D11" s="1"/>
    </row>
    <row r="12">
      <c r="B12" s="22" t="s">
        <v>128</v>
      </c>
      <c r="C12" s="23">
        <v>5.0</v>
      </c>
      <c r="D12" s="1"/>
    </row>
    <row r="18">
      <c r="B18" s="5"/>
      <c r="C18" s="5"/>
    </row>
    <row r="19">
      <c r="B19" s="4"/>
      <c r="C19" s="13"/>
    </row>
    <row r="20">
      <c r="B20" s="4"/>
      <c r="C20" s="13"/>
    </row>
    <row r="21">
      <c r="B21" s="4"/>
      <c r="C21" s="13"/>
    </row>
    <row r="22">
      <c r="B22" s="4"/>
      <c r="C22" s="13"/>
    </row>
    <row r="23">
      <c r="B23" s="4"/>
      <c r="C23" s="13"/>
    </row>
    <row r="24">
      <c r="B24" s="4"/>
      <c r="C24" s="1"/>
    </row>
    <row r="25">
      <c r="B25" s="4"/>
      <c r="C25" s="1"/>
    </row>
  </sheetData>
  <conditionalFormatting sqref="C8">
    <cfRule type="expression" dxfId="0" priority="1">
      <formula>"decrease decimal"</formula>
    </cfRule>
  </conditionalFormatting>
  <conditionalFormatting sqref="C8">
    <cfRule type="expression" dxfId="0" priority="2">
      <formula>"decrease decimal to 2 points"</formula>
    </cfRule>
  </conditionalFormatting>
  <drawing r:id="rId1"/>
</worksheet>
</file>